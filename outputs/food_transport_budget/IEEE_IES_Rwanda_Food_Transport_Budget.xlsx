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8daa4bd91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 Budget" sheetId="1" r:id="Rb51c1135f593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#,##0"/>
    <x:numFmt numFmtId="202" formatCode="0%"/>
    <x:numFmt numFmtId="203" formatCode="$#,##0.00;[Red]($#,##0.00);-"/>
    <x:numFmt numFmtId="204" formatCode="#,##0 &quot;RWF&quot;;[Red](#,##0 &quot;RWF&quot;);-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A5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6100"/>
      <x:name val="Carlito"/>
    </x:font>
    <x:font>
      <x:b/>
      <x:sz val="11"/>
      <x:color rgb="FF163A5F"/>
      <x:name val="Carlito"/>
    </x:font>
    <x:font>
      <x:i/>
      <x:sz val="9"/>
      <x:color rgb="FF4A5560"/>
      <x:name val="Carlito"/>
    </x:font>
    <x:font>
      <x:b/>
      <x:sz val="18"/>
      <x:color rgb="FFFFFFFF"/>
      <x:name val="Aptos"/>
    </x:font>
    <x:font>
      <x:i/>
      <x:sz val="11"/>
      <x:color rgb="FF163A5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0000FF"/>
      <x:name val="Aptos"/>
    </x:font>
    <x:font>
      <x:b/>
      <x:sz val="11"/>
      <x:color rgb="FF006100"/>
      <x:name val="Aptos"/>
    </x:font>
    <x:font>
      <x:b/>
      <x:sz val="11"/>
      <x:color rgb="FF163A5F"/>
      <x:name val="Aptos"/>
    </x:font>
    <x:font>
      <x:i/>
      <x:sz val="9"/>
      <x:color rgb="FF4A556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DEAF2"/>
      </x:patternFill>
    </x:fill>
    <x:fill>
      <x:patternFill patternType="solid">
        <x:fgColor rgb="FF1F7A8C"/>
      </x:patternFill>
    </x:fill>
    <x:fill>
      <x:patternFill patternType="solid">
        <x:fgColor rgb="FFEAF3F8"/>
      </x:patternFill>
    </x:fill>
    <x:fill>
      <x:patternFill patternType="solid">
        <x:fgColor rgb="FFE8F4EA"/>
      </x:patternFill>
    </x:fill>
    <x:fill>
      <x:patternFill patternType="solid">
        <x:fgColor rgb="FFC6EFCE"/>
      </x:patternFill>
    </x:fill>
    <x:fill>
      <x:patternFill patternType="solid">
        <x:fgColor rgb="FFFFF4CC"/>
      </x:patternFill>
    </x:fill>
  </x:fills>
  <x:borders count="11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  <x:border>
      <x:right style="thin">
        <x:color rgb="FFC9D5DF"/>
      </x:right>
      <x:bottom style="thin">
        <x:color rgb="FFC9D5DF"/>
      </x:bottom>
    </x:border>
    <x:border>
      <x:left style="thin">
        <x:color rgb="FFC9D5DF"/>
      </x:left>
      <x:bottom style="thin">
        <x:color rgb="FFC9D5DF"/>
      </x:bottom>
    </x:border>
    <x:border>
      <x:right style="thin">
        <x:color rgb="FFC9D5DF"/>
      </x:right>
      <x:top style="thin">
        <x:color rgb="FFC9D5DF"/>
      </x:top>
      <x:bottom style="thin">
        <x:color rgb="FFC9D5DF"/>
      </x:bottom>
    </x:border>
    <x:border>
      <x:left style="thin">
        <x:color rgb="FFC9D5DF"/>
      </x:left>
      <x:top style="thin">
        <x:color rgb="FFC9D5DF"/>
      </x:top>
      <x:bottom style="thin">
        <x:color rgb="FFC9D5DF"/>
      </x:bottom>
    </x:border>
    <x:border>
      <x:right style="thin">
        <x:color rgb="FFC9D5DF"/>
      </x:right>
      <x:top style="thin">
        <x:color rgb="FFC9D5DF"/>
      </x:top>
    </x:border>
    <x:border>
      <x:left style="thin">
        <x:color rgb="FFC9D5DF"/>
      </x:left>
      <x:top style="thin">
        <x:color rgb="FFC9D5DF"/>
      </x:top>
    </x:border>
    <x:border>
      <x:left style="thin">
        <x:color rgb="FFC9D5DF"/>
      </x:left>
      <x:right style="thin">
        <x:color rgb="FFC9D5DF"/>
      </x:right>
      <x:bottom style="thin">
        <x:color rgb="FFC9D5DF"/>
      </x:bottom>
    </x:border>
    <x:border>
      <x:left style="thin">
        <x:color rgb="FFC9D5DF"/>
      </x:left>
      <x:right style="thin">
        <x:color rgb="FFC9D5DF"/>
      </x:right>
      <x:top style="thin">
        <x:color rgb="FFC9D5DF"/>
      </x:top>
    </x:border>
    <x:border>
      <x:bottom style="double">
        <x:color rgb="FF163A5F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4" fillId="5" borderId="7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7" borderId="7" xfId="0" applyNumberFormat="1" applyFont="1" applyFill="1" applyBorder="1"/>
    <x:xf numFmtId="0" fontId="5" fillId="7" borderId="7" xfId="0" applyNumberFormat="1" applyFont="1" applyFill="1" applyBorder="1"/>
    <x:xf numFmtId="0" fontId="5" fillId="7" borderId="7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1" xfId="0" applyNumberFormat="1" applyFont="1" applyFill="1" applyBorder="1"/>
    <x:xf numFmtId="0" fontId="4" fillId="8" borderId="8" xfId="0" applyNumberFormat="1" applyFont="1" applyFill="1" applyBorder="1"/>
    <x:xf numFmtId="0" fontId="4" fillId="8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0" fillId="5" borderId="9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4" fillId="5" borderId="3" xfId="0" applyNumberFormat="1" applyFont="1" applyFill="1" applyBorder="1"/>
    <x:xf numFmtId="200" fontId="4" fillId="5" borderId="5" xfId="0" applyNumberFormat="1" applyFont="1" applyFill="1" applyBorder="1"/>
    <x:xf numFmtId="200" fontId="4" fillId="5" borderId="7" xfId="0" applyNumberFormat="1" applyFont="1" applyFill="1" applyBorder="1"/>
    <x:xf numFmtId="201" fontId="4" fillId="5" borderId="5" xfId="0" applyNumberFormat="1" applyFont="1" applyFill="1" applyBorder="1"/>
    <x:xf numFmtId="202" fontId="4" fillId="5" borderId="5" xfId="0" applyNumberFormat="1" applyFont="1" applyFill="1" applyBorder="1"/>
    <x:xf numFmtId="201" fontId="0" fillId="5" borderId="5" xfId="0" applyNumberFormat="1" applyFont="1" applyFill="1" applyBorder="1"/>
    <x:xf numFmtId="203" fontId="0" fillId="6" borderId="3" xfId="0" applyNumberFormat="1" applyFont="1" applyFill="1" applyBorder="1"/>
    <x:xf numFmtId="203" fontId="0" fillId="6" borderId="5" xfId="0" applyNumberFormat="1" applyFont="1" applyFill="1" applyBorder="1"/>
    <x:xf numFmtId="204" fontId="0" fillId="6" borderId="5" xfId="0" applyNumberFormat="1" applyFont="1" applyFill="1" applyBorder="1"/>
    <x:xf numFmtId="201" fontId="4" fillId="8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9" xfId="0" applyNumberFormat="1" applyFont="1" applyFill="1" applyBorder="1"/>
    <x:xf numFmtId="204" fontId="4" fillId="8" borderId="8" xfId="0" applyNumberFormat="1" applyFont="1" applyFill="1" applyBorder="1"/>
    <x:xf numFmtId="204" fontId="0" fillId="0" borderId="8" xfId="0" applyNumberFormat="1" applyFont="1" applyFill="1" applyBorder="1"/>
    <x:xf numFmtId="204" fontId="4" fillId="8" borderId="1" xfId="0" applyNumberFormat="1" applyFont="1" applyFill="1" applyBorder="1"/>
    <x:xf numFmtId="204" fontId="0" fillId="0" borderId="1" xfId="0" applyNumberFormat="1" applyFont="1" applyFill="1" applyBorder="1"/>
    <x:xf numFmtId="204" fontId="0" fillId="0" borderId="9" xfId="0" applyNumberFormat="1" applyFont="1" applyFill="1" applyBorder="1"/>
    <x:xf numFmtId="204" fontId="0" fillId="0" borderId="0" xfId="0" applyNumberFormat="1" applyFont="1" applyFill="1" applyBorder="1"/>
    <x:xf numFmtId="204" fontId="6" fillId="6" borderId="10" xfId="0" applyNumberFormat="1" applyFont="1" applyFill="1" applyBorder="1"/>
    <x:xf numFmtId="203" fontId="0" fillId="0" borderId="3" xfId="0" applyNumberFormat="1" applyFont="1" applyFill="1" applyBorder="1"/>
    <x:xf numFmtId="203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0" fillId="0" borderId="0" xfId="0" applyNumberFormat="1" applyFont="1" applyFill="1" applyBorder="1"/>
    <x:xf numFmtId="203" fontId="6" fillId="6" borderId="1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5" borderId="6" xfId="0" applyNumberFormat="1" applyFont="1" applyFill="1" applyBorder="1"/>
    <x:xf numFmtId="204" fontId="0" fillId="5" borderId="9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5" borderId="9" xfId="0" applyNumberFormat="1" applyFont="1" applyFill="1" applyBorder="1"/>
    <x:xf numFmtId="203" fontId="0" fillId="5" borderId="7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0" fillId="5" borderId="2" xfId="0" applyNumberFormat="1" applyFont="1" applyFill="1" applyBorder="1"/>
    <x:xf numFmtId="200" fontId="12" fillId="5" borderId="3" xfId="0" applyNumberFormat="1" applyFont="1" applyFill="1" applyBorder="1"/>
    <x:xf numFmtId="0" fontId="10" fillId="6" borderId="2" xfId="0" applyNumberFormat="1" applyFont="1" applyFill="1" applyBorder="1"/>
    <x:xf numFmtId="203" fontId="10" fillId="6" borderId="3" xfId="0" applyNumberFormat="1" applyFont="1" applyFill="1" applyBorder="1"/>
    <x:xf numFmtId="0" fontId="10" fillId="5" borderId="4" xfId="0" applyNumberFormat="1" applyFont="1" applyFill="1" applyBorder="1"/>
    <x:xf numFmtId="200" fontId="12" fillId="5" borderId="5" xfId="0" applyNumberFormat="1" applyFont="1" applyFill="1" applyBorder="1"/>
    <x:xf numFmtId="0" fontId="10" fillId="6" borderId="4" xfId="0" applyNumberFormat="1" applyFont="1" applyFill="1" applyBorder="1"/>
    <x:xf numFmtId="203" fontId="10" fillId="6" borderId="5" xfId="0" applyNumberFormat="1" applyFont="1" applyFill="1" applyBorder="1"/>
    <x:xf numFmtId="201" fontId="12" fillId="5" borderId="5" xfId="0" applyNumberFormat="1" applyFont="1" applyFill="1" applyBorder="1"/>
    <x:xf numFmtId="202" fontId="12" fillId="5" borderId="5" xfId="0" applyNumberFormat="1" applyFont="1" applyFill="1" applyBorder="1"/>
    <x:xf numFmtId="204" fontId="10" fillId="6" borderId="5" xfId="0" applyNumberFormat="1" applyFont="1" applyFill="1" applyBorder="1"/>
    <x:xf numFmtId="201" fontId="10" fillId="5" borderId="5" xfId="0" applyNumberFormat="1" applyFont="1" applyFill="1" applyBorder="1"/>
    <x:xf numFmtId="0" fontId="10" fillId="5" borderId="6" xfId="0" applyNumberFormat="1" applyFont="1" applyFill="1" applyBorder="1"/>
    <x:xf numFmtId="200" fontId="12" fillId="5" borderId="7" xfId="0" applyNumberFormat="1" applyFont="1" applyFill="1" applyBorder="1"/>
    <x:xf numFmtId="0" fontId="10" fillId="6" borderId="6" xfId="0" applyNumberFormat="1" applyFont="1" applyFill="1" applyBorder="1"/>
    <x:xf numFmtId="0" fontId="13" fillId="7" borderId="7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 applyAlignment="1">
      <x:alignment horizontal="center" wrapText="1"/>
    </x:xf>
    <x:xf numFmtId="0" fontId="10" fillId="0" borderId="2" xfId="0" applyNumberFormat="1" applyFont="1" applyFill="1" applyBorder="1"/>
    <x:xf numFmtId="0" fontId="10" fillId="0" borderId="8" xfId="0" applyNumberFormat="1" applyFont="1" applyFill="1" applyBorder="1"/>
    <x:xf numFmtId="201" fontId="12" fillId="8" borderId="8" xfId="0" applyNumberFormat="1" applyFont="1" applyFill="1" applyBorder="1"/>
    <x:xf numFmtId="204" fontId="12" fillId="8" borderId="8" xfId="0" applyNumberFormat="1" applyFont="1" applyFill="1" applyBorder="1"/>
    <x:xf numFmtId="204" fontId="10" fillId="0" borderId="8" xfId="0" applyNumberFormat="1" applyFont="1" applyFill="1" applyBorder="1"/>
    <x:xf numFmtId="203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1" xfId="0" applyNumberFormat="1" applyFont="1" applyFill="1" applyBorder="1"/>
    <x:xf numFmtId="201" fontId="10" fillId="0" borderId="1" xfId="0" applyNumberFormat="1" applyFont="1" applyFill="1" applyBorder="1"/>
    <x:xf numFmtId="204" fontId="12" fillId="8" borderId="1" xfId="0" applyNumberFormat="1" applyFont="1" applyFill="1" applyBorder="1"/>
    <x:xf numFmtId="204" fontId="10" fillId="0" borderId="1" xfId="0" applyNumberFormat="1" applyFont="1" applyFill="1" applyBorder="1"/>
    <x:xf numFmtId="203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9" xfId="0" applyNumberFormat="1" applyFont="1" applyFill="1" applyBorder="1"/>
    <x:xf numFmtId="201" fontId="10" fillId="0" borderId="9" xfId="0" applyNumberFormat="1" applyFont="1" applyFill="1" applyBorder="1"/>
    <x:xf numFmtId="204" fontId="10" fillId="0" borderId="9" xfId="0" applyNumberFormat="1" applyFont="1" applyFill="1" applyBorder="1"/>
    <x:xf numFmtId="203" fontId="10" fillId="0" borderId="7" xfId="0" applyNumberFormat="1" applyFont="1" applyFill="1" applyBorder="1"/>
    <x:xf numFmtId="204" fontId="10" fillId="0" borderId="0" xfId="0" applyNumberFormat="1" applyFont="1" applyFill="1" applyBorder="1"/>
    <x:xf numFmtId="203" fontId="10" fillId="0" borderId="0" xfId="0" applyNumberFormat="1" applyFont="1" applyFill="1" applyBorder="1"/>
    <x:xf numFmtId="0" fontId="14" fillId="6" borderId="10" xfId="0" applyNumberFormat="1" applyFont="1" applyFill="1" applyBorder="1"/>
    <x:xf numFmtId="204" fontId="14" fillId="6" borderId="10" xfId="0" applyNumberFormat="1" applyFont="1" applyFill="1" applyBorder="1"/>
    <x:xf numFmtId="203" fontId="14" fillId="6" borderId="10" xfId="0" applyNumberFormat="1" applyFont="1" applyFill="1" applyBorder="1"/>
    <x:xf numFmtId="201" fontId="10" fillId="0" borderId="2" xfId="0" applyNumberFormat="1" applyFont="1" applyFill="1" applyBorder="1"/>
    <x:xf numFmtId="203" fontId="10" fillId="0" borderId="8" xfId="0" applyNumberFormat="1" applyFont="1" applyFill="1" applyBorder="1"/>
    <x:xf numFmtId="201" fontId="10" fillId="0" borderId="4" xfId="0" applyNumberFormat="1" applyFont="1" applyFill="1" applyBorder="1"/>
    <x:xf numFmtId="203" fontId="10" fillId="0" borderId="1" xfId="0" applyNumberFormat="1" applyFont="1" applyFill="1" applyBorder="1"/>
    <x:xf numFmtId="201" fontId="10" fillId="5" borderId="6" xfId="0" applyNumberFormat="1" applyFont="1" applyFill="1" applyBorder="1"/>
    <x:xf numFmtId="204" fontId="10" fillId="5" borderId="9" xfId="0" applyNumberFormat="1" applyFont="1" applyFill="1" applyBorder="1"/>
    <x:xf numFmtId="203" fontId="10" fillId="5" borderId="9" xfId="0" applyNumberFormat="1" applyFont="1" applyFill="1" applyBorder="1"/>
    <x:xf numFmtId="203" fontId="10" fillId="5" borderId="7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201" fontId="12" fillId="8" borderId="8" xfId="0" applyNumberFormat="1" applyFont="1" applyFill="1" applyBorder="1" applyAlignment="1">
      <x:alignment horizontal="right"/>
    </x:xf>
    <x:xf numFmtId="204" fontId="12" fillId="8" borderId="8" xfId="0" applyNumberFormat="1" applyFont="1" applyFill="1" applyBorder="1" applyAlignment="1">
      <x:alignment horizontal="right"/>
    </x:xf>
    <x:xf numFmtId="204" fontId="10" fillId="0" borderId="8" xfId="0" applyNumberFormat="1" applyFont="1" applyFill="1" applyBorder="1" applyAlignment="1">
      <x:alignment horizontal="right"/>
    </x:xf>
    <x:xf numFmtId="203" fontId="10" fillId="0" borderId="3" xfId="0" applyNumberFormat="1" applyFont="1" applyFill="1" applyBorder="1" applyAlignment="1">
      <x:alignment horizontal="right"/>
    </x:xf>
    <x:xf numFmtId="201" fontId="10" fillId="0" borderId="1" xfId="0" applyNumberFormat="1" applyFont="1" applyFill="1" applyBorder="1" applyAlignment="1">
      <x:alignment horizontal="right"/>
    </x:xf>
    <x:xf numFmtId="204" fontId="12" fillId="8" borderId="1" xfId="0" applyNumberFormat="1" applyFont="1" applyFill="1" applyBorder="1" applyAlignment="1">
      <x:alignment horizontal="right"/>
    </x:xf>
    <x:xf numFmtId="204" fontId="10" fillId="0" borderId="1" xfId="0" applyNumberFormat="1" applyFont="1" applyFill="1" applyBorder="1" applyAlignment="1">
      <x:alignment horizontal="right"/>
    </x:xf>
    <x:xf numFmtId="203" fontId="10" fillId="0" borderId="5" xfId="0" applyNumberFormat="1" applyFont="1" applyFill="1" applyBorder="1" applyAlignment="1">
      <x:alignment horizontal="right"/>
    </x:xf>
    <x:xf numFmtId="201" fontId="10" fillId="0" borderId="9" xfId="0" applyNumberFormat="1" applyFont="1" applyFill="1" applyBorder="1" applyAlignment="1">
      <x:alignment horizontal="right"/>
    </x:xf>
    <x:xf numFmtId="204" fontId="10" fillId="0" borderId="9" xfId="0" applyNumberFormat="1" applyFont="1" applyFill="1" applyBorder="1" applyAlignment="1">
      <x:alignment horizontal="right"/>
    </x:xf>
    <x:xf numFmtId="203" fontId="10" fillId="0" borderId="7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right"/>
    </x:xf>
    <x:xf numFmtId="204" fontId="10" fillId="0" borderId="0" xfId="0" applyNumberFormat="1" applyFont="1" applyFill="1" applyBorder="1" applyAlignment="1">
      <x:alignment horizontal="right"/>
    </x:xf>
    <x:xf numFmtId="203" fontId="10" fillId="0" borderId="0" xfId="0" applyNumberFormat="1" applyFont="1" applyFill="1" applyBorder="1" applyAlignment="1">
      <x:alignment horizontal="right"/>
    </x:xf>
    <x:xf numFmtId="0" fontId="14" fillId="6" borderId="10" xfId="0" applyNumberFormat="1" applyFont="1" applyFill="1" applyBorder="1" applyAlignment="1">
      <x:alignment horizontal="right"/>
    </x:xf>
    <x:xf numFmtId="204" fontId="14" fillId="6" borderId="10" xfId="0" applyNumberFormat="1" applyFont="1" applyFill="1" applyBorder="1" applyAlignment="1">
      <x:alignment horizontal="right"/>
    </x:xf>
    <x:xf numFmtId="203" fontId="14" fillId="6" borderId="10" xfId="0" applyNumberFormat="1" applyFont="1" applyFill="1" applyBorder="1" applyAlignment="1">
      <x:alignment horizontal="right"/>
    </x:xf>
    <x:xf numFmtId="0" fontId="11" fillId="4" borderId="0" xfId="0" applyNumberFormat="1" applyFont="1" applyFill="1" applyBorder="1" applyAlignment="1">
      <x:alignment horizontal="right" vertical="center"/>
    </x:xf>
    <x:xf numFmtId="0" fontId="11" fillId="2" borderId="1" xfId="0" applyNumberFormat="1" applyFont="1" applyFill="1" applyBorder="1" applyAlignment="1">
      <x:alignment horizontal="right" wrapText="1"/>
    </x:xf>
    <x:xf numFmtId="203" fontId="10" fillId="0" borderId="8" xfId="0" applyNumberFormat="1" applyFont="1" applyFill="1" applyBorder="1" applyAlignment="1">
      <x:alignment horizontal="right"/>
    </x:xf>
    <x:xf numFmtId="203" fontId="10" fillId="0" borderId="1" xfId="0" applyNumberFormat="1" applyFont="1" applyFill="1" applyBorder="1" applyAlignment="1">
      <x:alignment horizontal="right"/>
    </x:xf>
    <x:xf numFmtId="204" fontId="10" fillId="5" borderId="9" xfId="0" applyNumberFormat="1" applyFont="1" applyFill="1" applyBorder="1" applyAlignment="1">
      <x:alignment horizontal="right"/>
    </x:xf>
    <x:xf numFmtId="203" fontId="10" fillId="5" borderId="9" xfId="0" applyNumberFormat="1" applyFont="1" applyFill="1" applyBorder="1" applyAlignment="1">
      <x:alignment horizontal="right"/>
    </x:xf>
    <x:xf numFmtId="203" fontId="10" fillId="5" borderId="7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c483451674070" /><Relationship Type="http://schemas.openxmlformats.org/officeDocument/2006/relationships/theme" Target="/xl/theme/theme1.xml" Id="Rb707545ba0714f09" /><Relationship Type="http://schemas.openxmlformats.org/officeDocument/2006/relationships/sharedStrings" Target="/xl/sharedStrings.xml" Id="Rd27516aa48e24aba" /><Relationship Type="http://schemas.openxmlformats.org/officeDocument/2006/relationships/worksheet" Target="/xl/worksheets/sheet1.xml" Id="Rb51c1135f59345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3" hidden="0" customWidth="1"/>
    <x:col min="4" max="4" width="34" hidden="0" customWidth="1"/>
    <x:col min="5" max="5" width="24" hidden="0" customWidth="1"/>
    <x:col min="6" max="6" width="18" hidden="0" customWidth="1"/>
  </x:cols>
  <x:sheetData>
    <x:row r="1" ht="34" customHeight="1">
      <x:c r="A1" s="85" t="str">
        <x:v>IEEE IES Rwanda - Volkswagen Industrial Visit Budget</x:v>
      </x:c>
      <x:c r="B1" s="85"/>
      <x:c r="C1" s="85"/>
      <x:c r="D1" s="85"/>
      <x:c r="E1" s="85"/>
      <x:c r="F1" s="85"/>
    </x:row>
    <x:row r="2">
      <x:c r="A2" s="86" t="str">
        <x:v>Friday, 24 July 2026 | Volkswagen Mobility Solutions Rwanda</x:v>
      </x:c>
      <x:c r="B2" s="86"/>
      <x:c r="C2" s="86"/>
      <x:c r="D2" s="86"/>
      <x:c r="E2" s="86"/>
      <x:c r="F2" s="86"/>
    </x:row>
    <x:row r="3">
      <x:c r="A3" s="87"/>
      <x:c r="B3" s="87"/>
      <x:c r="C3" s="87"/>
      <x:c r="D3" s="87"/>
      <x:c r="E3" s="87"/>
      <x:c r="F3" s="87"/>
    </x:row>
    <x:row r="4">
      <x:c r="A4" s="88" t="str">
        <x:v>Planning Inputs</x:v>
      </x:c>
      <x:c r="B4" s="88"/>
      <x:c r="C4" s="87"/>
      <x:c r="D4" s="88" t="str">
        <x:v>Budget Summary</x:v>
      </x:c>
      <x:c r="E4" s="88"/>
      <x:c r="F4" s="87"/>
    </x:row>
    <x:row r="5">
      <x:c r="A5" s="89" t="str">
        <x:v>Approved budget (USD)</x:v>
      </x:c>
      <x:c r="B5" s="90" t="n">
        <x:v>2000</x:v>
      </x:c>
      <x:c r="C5" s="87"/>
      <x:c r="D5" s="91" t="str">
        <x:v>Budget after printing commitment</x:v>
      </x:c>
      <x:c r="E5" s="92" t="n">
        <x:f>B5-B6</x:f>
        <x:v>900</x:v>
      </x:c>
      <x:c r="F5" s="87"/>
    </x:row>
    <x:row r="6">
      <x:c r="A6" s="93" t="str">
        <x:v>Printing - separate invoice, payment requested (USD)</x:v>
      </x:c>
      <x:c r="B6" s="94" t="n">
        <x:v>1100</x:v>
      </x:c>
      <x:c r="C6" s="87"/>
      <x:c r="D6" s="95" t="str">
        <x:v>Photography invoice commitment</x:v>
      </x:c>
      <x:c r="E6" s="96" t="n">
        <x:f>B14</x:f>
        <x:v>300</x:v>
      </x:c>
      <x:c r="F6" s="87"/>
    </x:row>
    <x:row r="7">
      <x:c r="A7" s="93" t="str">
        <x:v>Exchange rate (RWF per USD)</x:v>
      </x:c>
      <x:c r="B7" s="97" t="n">
        <x:v>1450</x:v>
      </x:c>
      <x:c r="C7" s="87"/>
      <x:c r="D7" s="95" t="str">
        <x:v>Available for food + transport</x:v>
      </x:c>
      <x:c r="E7" s="96" t="n">
        <x:f>E5-E6</x:f>
        <x:v>600</x:v>
      </x:c>
      <x:c r="F7" s="87"/>
    </x:row>
    <x:row r="8">
      <x:c r="A8" s="93" t="str">
        <x:v>Contingency rate</x:v>
      </x:c>
      <x:c r="B8" s="98" t="n">
        <x:v>0.1</x:v>
      </x:c>
      <x:c r="C8" s="87"/>
      <x:c r="D8" s="95" t="str">
        <x:v>Planned food + transport</x:v>
      </x:c>
      <x:c r="E8" s="96" t="n">
        <x:f>F24</x:f>
        <x:v>546.2068965517242</x:v>
      </x:c>
      <x:c r="F8" s="87"/>
    </x:row>
    <x:row r="9">
      <x:c r="A9" s="93" t="str">
        <x:v>Registered participants</x:v>
      </x:c>
      <x:c r="B9" s="97" t="n">
        <x:v>72</x:v>
      </x:c>
      <x:c r="C9" s="87"/>
      <x:c r="D9" s="95" t="str">
        <x:v>Total committed event spend</x:v>
      </x:c>
      <x:c r="E9" s="96" t="n">
        <x:f>B6+E6+E8</x:f>
        <x:v>1946.2068965517242</x:v>
      </x:c>
      <x:c r="F9" s="87"/>
    </x:row>
    <x:row r="10">
      <x:c r="A10" s="93" t="str">
        <x:v>Planned attendance</x:v>
      </x:c>
      <x:c r="B10" s="97" t="n">
        <x:v>80</x:v>
      </x:c>
      <x:c r="C10" s="87"/>
      <x:c r="D10" s="95" t="str">
        <x:v>Amount under / (over) budget</x:v>
      </x:c>
      <x:c r="E10" s="96" t="n">
        <x:f>B5-E9</x:f>
        <x:v>53.793103448275815</x:v>
      </x:c>
      <x:c r="F10" s="87"/>
    </x:row>
    <x:row r="11">
      <x:c r="A11" s="93" t="str">
        <x:v>Number of buses</x:v>
      </x:c>
      <x:c r="B11" s="97" t="n">
        <x:v>2</x:v>
      </x:c>
      <x:c r="C11" s="87"/>
      <x:c r="D11" s="95" t="str">
        <x:v>Required cost reduction</x:v>
      </x:c>
      <x:c r="E11" s="96" t="n">
        <x:f>MAX(0,-E10)</x:f>
        <x:v>0</x:v>
      </x:c>
      <x:c r="F11" s="87"/>
    </x:row>
    <x:row r="12">
      <x:c r="A12" s="93" t="str">
        <x:v>Milk quantity</x:v>
      </x:c>
      <x:c r="B12" s="97" t="n">
        <x:v>6</x:v>
      </x:c>
      <x:c r="C12" s="87"/>
      <x:c r="D12" s="95" t="str">
        <x:v>Food + transport limit (RWF)</x:v>
      </x:c>
      <x:c r="E12" s="99" t="n">
        <x:f>E7*B7</x:f>
        <x:v>870000</x:v>
      </x:c>
      <x:c r="F12" s="87"/>
    </x:row>
    <x:row r="13">
      <x:c r="A13" s="93" t="str">
        <x:v>Soda quantity</x:v>
      </x:c>
      <x:c r="B13" s="100" t="n">
        <x:f>B10-B12</x:f>
        <x:v>74</x:v>
      </x:c>
      <x:c r="C13" s="87"/>
      <x:c r="D13" s="95" t="str">
        <x:v>Printing invoice reference (RWF)</x:v>
      </x:c>
      <x:c r="E13" s="99" t="n">
        <x:f>1490000</x:f>
        <x:v>1490000</x:v>
      </x:c>
      <x:c r="F13" s="87"/>
    </x:row>
    <x:row r="14">
      <x:c r="A14" s="101" t="str">
        <x:v>Photography - separate invoice to be sent (USD)</x:v>
      </x:c>
      <x:c r="B14" s="102" t="n">
        <x:v>300</x:v>
      </x:c>
      <x:c r="C14" s="87"/>
      <x:c r="D14" s="103" t="str">
        <x:v>Status</x:v>
      </x:c>
      <x:c r="E14" s="104" t="str">
        <x:f>IF(E10&gt;=0,"WITHIN BUDGET","OVER BUDGET")</x:f>
        <x:v>WITHIN BUDGET</x:v>
      </x:c>
      <x:c r="F14" s="87"/>
    </x:row>
    <x:row r="15">
      <x:c r="A15" s="88" t="str">
        <x:v>Food and Transport Estimate</x:v>
      </x:c>
      <x:c r="B15" s="88"/>
      <x:c r="C15" s="88"/>
      <x:c r="D15" s="88"/>
      <x:c r="E15" s="88"/>
      <x:c r="F15" s="88"/>
    </x:row>
    <x:row r="16">
      <x:c r="A16" s="105" t="str">
        <x:v>Category</x:v>
      </x:c>
      <x:c r="B16" s="105" t="str">
        <x:v>Item</x:v>
      </x:c>
      <x:c r="C16" s="105" t="str">
        <x:v>Quantity</x:v>
      </x:c>
      <x:c r="D16" s="105" t="str">
        <x:v>Unit Cost (RWF)</x:v>
      </x:c>
      <x:c r="E16" s="105" t="str">
        <x:v>Total (RWF)</x:v>
      </x:c>
      <x:c r="F16" s="105" t="str">
        <x:v>Total (USD)</x:v>
      </x:c>
    </x:row>
    <x:row r="17">
      <x:c r="A17" s="106" t="str">
        <x:v>Food</x:v>
      </x:c>
      <x:c r="B17" s="107" t="str">
        <x:v>Whole pizza (serves 3)</x:v>
      </x:c>
      <x:c r="C17" s="137" t="n">
        <x:v>20</x:v>
      </x:c>
      <x:c r="D17" s="138" t="n">
        <x:v>6000</x:v>
      </x:c>
      <x:c r="E17" s="139" t="n">
        <x:f>C17*D17</x:f>
        <x:v>120000</x:v>
      </x:c>
      <x:c r="F17" s="140" t="n">
        <x:f>E17/B7</x:f>
        <x:v>82.75862068965517</x:v>
      </x:c>
    </x:row>
    <x:row r="18">
      <x:c r="A18" s="112" t="str">
        <x:v>Drink</x:v>
      </x:c>
      <x:c r="B18" s="113" t="str">
        <x:v>Bottled water</x:v>
      </x:c>
      <x:c r="C18" s="141" t="n">
        <x:f>B10</x:f>
        <x:v>80</x:v>
      </x:c>
      <x:c r="D18" s="142" t="n">
        <x:v>1000</x:v>
      </x:c>
      <x:c r="E18" s="143" t="n">
        <x:f>C18*D18</x:f>
        <x:v>80000</x:v>
      </x:c>
      <x:c r="F18" s="144" t="n">
        <x:f>E18/B7</x:f>
        <x:v>55.172413793103445</x:v>
      </x:c>
    </x:row>
    <x:row r="19">
      <x:c r="A19" s="112" t="str">
        <x:v>Drink</x:v>
      </x:c>
      <x:c r="B19" s="113" t="str">
        <x:v>Soda</x:v>
      </x:c>
      <x:c r="C19" s="141" t="n">
        <x:f>B13</x:f>
        <x:v>74</x:v>
      </x:c>
      <x:c r="D19" s="142" t="n">
        <x:v>1500</x:v>
      </x:c>
      <x:c r="E19" s="143" t="n">
        <x:f>C19*D19</x:f>
        <x:v>111000</x:v>
      </x:c>
      <x:c r="F19" s="144" t="n">
        <x:f>E19/B7</x:f>
        <x:v>76.55172413793103</x:v>
      </x:c>
    </x:row>
    <x:row r="20">
      <x:c r="A20" s="112" t="str">
        <x:v>Drink</x:v>
      </x:c>
      <x:c r="B20" s="113" t="str">
        <x:v>Milk</x:v>
      </x:c>
      <x:c r="C20" s="141" t="n">
        <x:f>B12</x:f>
        <x:v>6</x:v>
      </x:c>
      <x:c r="D20" s="142" t="n">
        <x:v>1500</x:v>
      </x:c>
      <x:c r="E20" s="143" t="n">
        <x:f>C20*D20</x:f>
        <x:v>9000</x:v>
      </x:c>
      <x:c r="F20" s="144" t="n">
        <x:f>E20/B7</x:f>
        <x:v>6.206896551724138</x:v>
      </x:c>
    </x:row>
    <x:row r="21">
      <x:c r="A21" s="112" t="str">
        <x:v>Transport</x:v>
      </x:c>
      <x:c r="B21" s="113" t="str">
        <x:v>Bus - return trip</x:v>
      </x:c>
      <x:c r="C21" s="141" t="n">
        <x:f>B11</x:f>
        <x:v>2</x:v>
      </x:c>
      <x:c r="D21" s="142" t="n">
        <x:v>200000</x:v>
      </x:c>
      <x:c r="E21" s="143" t="n">
        <x:f>C21*D21</x:f>
        <x:v>400000</x:v>
      </x:c>
      <x:c r="F21" s="144" t="n">
        <x:f>E21/B7</x:f>
        <x:v>275.86206896551727</x:v>
      </x:c>
    </x:row>
    <x:row r="22">
      <x:c r="A22" s="118" t="str">
        <x:v>Contingency</x:v>
      </x:c>
      <x:c r="B22" s="119" t="str">
        <x:v>10% planning reserve</x:v>
      </x:c>
      <x:c r="C22" s="145" t="n">
        <x:v>1</x:v>
      </x:c>
      <x:c r="D22" s="146" t="n">
        <x:f>SUM(E17:E21)*B8</x:f>
        <x:v>72000</x:v>
      </x:c>
      <x:c r="E22" s="146" t="n">
        <x:f>C22*D22</x:f>
        <x:v>72000</x:v>
      </x:c>
      <x:c r="F22" s="147" t="n">
        <x:f>E22/B7</x:f>
        <x:v>49.6551724137931</x:v>
      </x:c>
    </x:row>
    <x:row r="23">
      <x:c r="A23" s="87"/>
      <x:c r="B23" s="87"/>
      <x:c r="C23" s="148"/>
      <x:c r="D23" s="149"/>
      <x:c r="E23" s="149"/>
      <x:c r="F23" s="150"/>
    </x:row>
    <x:row r="24">
      <x:c r="A24" s="125" t="str">
        <x:v>TOTAL PLANNED VISIT COST</x:v>
      </x:c>
      <x:c r="B24" s="125"/>
      <x:c r="C24" s="151"/>
      <x:c r="D24" s="152"/>
      <x:c r="E24" s="152" t="n">
        <x:f>SUM(E17:E22)</x:f>
        <x:v>792000</x:v>
      </x:c>
      <x:c r="F24" s="153" t="n">
        <x:f>SUM(F17:F22)</x:f>
        <x:v>546.2068965517242</x:v>
      </x:c>
    </x:row>
    <x:row r="25">
      <x:c r="A25" s="87"/>
      <x:c r="B25" s="87"/>
      <x:c r="C25" s="148"/>
      <x:c r="D25" s="148"/>
      <x:c r="E25" s="148"/>
      <x:c r="F25" s="148"/>
    </x:row>
    <x:row r="26">
      <x:c r="A26" s="87"/>
      <x:c r="B26" s="87"/>
      <x:c r="C26" s="148"/>
      <x:c r="D26" s="148"/>
      <x:c r="E26" s="148"/>
      <x:c r="F26" s="148"/>
    </x:row>
    <x:row r="27">
      <x:c r="A27" s="88" t="str">
        <x:v>Attendance Scenarios</x:v>
      </x:c>
      <x:c r="B27" s="88"/>
      <x:c r="C27" s="154"/>
      <x:c r="D27" s="154"/>
      <x:c r="E27" s="154"/>
      <x:c r="F27" s="154"/>
    </x:row>
    <x:row r="28">
      <x:c r="A28" s="105" t="str">
        <x:v>Attendance</x:v>
      </x:c>
      <x:c r="B28" s="105" t="str">
        <x:v>Food + Drinks (RWF)</x:v>
      </x:c>
      <x:c r="C28" s="155" t="str">
        <x:v>Transport (RWF)</x:v>
      </x:c>
      <x:c r="D28" s="155" t="str">
        <x:v>Contingency (RWF)</x:v>
      </x:c>
      <x:c r="E28" s="155" t="str">
        <x:v>Total (USD)</x:v>
      </x:c>
      <x:c r="F28" s="155" t="str">
        <x:v>USD Buffer</x:v>
      </x:c>
    </x:row>
    <x:row r="29">
      <x:c r="A29" s="128" t="n">
        <x:v>70</x:v>
      </x:c>
      <x:c r="B29" s="110" t="n">
        <x:f>$C$17*$D$17+A29*D18+(A29-B12)*D19+B12*D20</x:f>
        <x:v>295000</x:v>
      </x:c>
      <x:c r="C29" s="139" t="n">
        <x:f>B11*D21</x:f>
        <x:v>400000</x:v>
      </x:c>
      <x:c r="D29" s="139" t="n">
        <x:f>(B29+C29)*B8</x:f>
        <x:v>69500</x:v>
      </x:c>
      <x:c r="E29" s="156" t="n">
        <x:f>(B29+C29+D29)/B7</x:f>
        <x:v>527.2413793103449</x:v>
      </x:c>
      <x:c r="F29" s="140" t="n">
        <x:f>E7-E29</x:f>
        <x:v>72.75862068965512</x:v>
      </x:c>
    </x:row>
    <x:row r="30">
      <x:c r="A30" s="130" t="n">
        <x:v>75</x:v>
      </x:c>
      <x:c r="B30" s="116" t="n">
        <x:f>$C$17*$D$17+A30*D18+(A30-B12)*D19+B12*D20</x:f>
        <x:v>307500</x:v>
      </x:c>
      <x:c r="C30" s="143" t="n">
        <x:f>B11*D21</x:f>
        <x:v>400000</x:v>
      </x:c>
      <x:c r="D30" s="143" t="n">
        <x:f>(B30+C30)*B8</x:f>
        <x:v>70750</x:v>
      </x:c>
      <x:c r="E30" s="157" t="n">
        <x:f>(B30+C30+D30)/B7</x:f>
        <x:v>536.7241379310345</x:v>
      </x:c>
      <x:c r="F30" s="144" t="n">
        <x:f>E7-E30</x:f>
        <x:v>63.275862068965466</x:v>
      </x:c>
    </x:row>
    <x:row r="31">
      <x:c r="A31" s="132" t="n">
        <x:v>80</x:v>
      </x:c>
      <x:c r="B31" s="133" t="n">
        <x:f>$C$17*$D$17+A31*D18+(A31-B12)*D19+B12*D20</x:f>
        <x:v>320000</x:v>
      </x:c>
      <x:c r="C31" s="158" t="n">
        <x:f>B11*D21</x:f>
        <x:v>400000</x:v>
      </x:c>
      <x:c r="D31" s="158" t="n">
        <x:f>(B31+C31)*B8</x:f>
        <x:v>72000</x:v>
      </x:c>
      <x:c r="E31" s="159" t="n">
        <x:f>(B31+C31+D31)/B7</x:f>
        <x:v>546.2068965517242</x:v>
      </x:c>
      <x:c r="F31" s="160" t="n">
        <x:f>E7-E31</x:f>
        <x:v>53.793103448275815</x:v>
      </x:c>
    </x:row>
    <x:row r="32">
      <x:c r="A32" s="87"/>
      <x:c r="B32" s="87"/>
      <x:c r="C32" s="87"/>
      <x:c r="D32" s="87"/>
      <x:c r="E32" s="87"/>
      <x:c r="F32" s="87"/>
    </x:row>
    <x:row r="33">
      <x:c r="A33" s="87"/>
      <x:c r="B33" s="87"/>
      <x:c r="C33" s="87"/>
      <x:c r="D33" s="87"/>
      <x:c r="E33" s="87"/>
      <x:c r="F33" s="87"/>
    </x:row>
    <x:row r="34">
      <x:c r="A34" s="88" t="str">
        <x:v>Notes</x:v>
      </x:c>
      <x:c r="B34" s="88"/>
      <x:c r="C34" s="88"/>
      <x:c r="D34" s="88"/>
      <x:c r="E34" s="88"/>
      <x:c r="F34" s="88"/>
    </x:row>
    <x:row r="35" ht="28" customHeight="1">
      <x:c r="A35" s="136" t="str">
        <x:v>Blue cells are editable planning assumptions. Update the exchange rate and supplier quotes when confirmed.</x:v>
      </x:c>
      <x:c r="B35" s="136"/>
      <x:c r="C35" s="136"/>
      <x:c r="D35" s="136"/>
      <x:c r="E35" s="136"/>
      <x:c r="F35" s="136"/>
    </x:row>
    <x:row r="36" ht="28" customHeight="1">
      <x:c r="A36" s="136" t="str">
        <x:v>Printing: a separate invoice has been submitted and payment requested; USD 1,100 remains committed in this budget.</x:v>
      </x:c>
      <x:c r="B36" s="136"/>
      <x:c r="C36" s="136"/>
      <x:c r="D36" s="136"/>
      <x:c r="E36" s="136"/>
      <x:c r="F36" s="136"/>
    </x:row>
    <x:row r="37" ht="28" customHeight="1">
      <x:c r="A37" s="136" t="str">
        <x:v>Photography: a separate USD 300 invoice is to be sent; this amount is reserved, leaving USD 600 for food and transport.</x:v>
      </x:c>
      <x:c r="B37" s="136"/>
      <x:c r="C37" s="136"/>
      <x:c r="D37" s="136"/>
      <x:c r="E37" s="136"/>
      <x:c r="F37" s="136"/>
    </x:row>
    <x:row r="38" ht="28" customHeight="1">
      <x:c r="A38" s="136" t="str">
        <x:v>Drink plan: 74 sodas and 6 milks for attendees who do not take soda; everyone also receives water.</x:v>
      </x:c>
      <x:c r="B38" s="136"/>
      <x:c r="C38" s="136"/>
      <x:c r="D38" s="136"/>
      <x:c r="E38" s="136"/>
      <x:c r="F38" s="136"/>
    </x:row>
    <x:row r="39" ht="28" customHeight="1">
      <x:c r="A39" s="136" t="str">
        <x:v>Coverage warning: 20 pizzas at 3 people each feed 60 people, leaving a gap of 20 against the 80-person plan.</x:v>
      </x:c>
      <x:c r="B39" s="136"/>
      <x:c r="C39" s="136"/>
      <x:c r="D39" s="136"/>
      <x:c r="E39" s="136"/>
      <x:c r="F39" s="136"/>
    </x:row>
    <x:row r="40" ht="28" customHeight="1">
      <x:c r="A40" s="136" t="str">
        <x:v>The supplied printing invoice totals RWF 1,490,000, and the participant list contains 72 names.</x:v>
      </x:c>
      <x:c r="B40" s="136"/>
      <x:c r="C40" s="136"/>
      <x:c r="D40" s="136"/>
      <x:c r="E40" s="136"/>
      <x:c r="F40" s="136"/>
    </x:row>
  </x:sheetData>
  <x:mergeCells>
    <x:mergeCell ref="A1:F1"/>
    <x:mergeCell ref="A2:F2"/>
    <x:mergeCell ref="A4:B4"/>
    <x:mergeCell ref="D4:E4"/>
    <x:mergeCell ref="A15:F15"/>
    <x:mergeCell ref="A24:D24"/>
    <x:mergeCell ref="A27:F27"/>
    <x:mergeCell ref="A34:F34"/>
    <x:mergeCell ref="A35:F35"/>
    <x:mergeCell ref="A36:F36"/>
    <x:mergeCell ref="A37:F37"/>
    <x:mergeCell ref="A38:F38"/>
    <x:mergeCell ref="A39:F39"/>
    <x:mergeCell ref="A40:F40"/>
  </x:mergeCells>
  <x:pageMargins left="0.7" right="0.7" top="0.75" bottom="0.75" header="0.3" footer="0.3"/>
</x:worksheet>
</file>