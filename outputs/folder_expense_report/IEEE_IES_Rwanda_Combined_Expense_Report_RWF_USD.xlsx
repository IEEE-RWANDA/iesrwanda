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563a0fbb3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f57424761d454b"/>
    <x:sheet xmlns:r="http://schemas.openxmlformats.org/officeDocument/2006/relationships" name="Source Notes" sheetId="2" r:id="Re6199c65474943e2"/>
  </x:sheets>
</x:workbook>
</file>

<file path=xl/sharedStrings.xml><?xml version="1.0" encoding="utf-8"?>
<x:sst xmlns:x="http://schemas.openxmlformats.org/spreadsheetml/2006/main">
  <x:si>
    <x:t xml:space="preserve">Expense Report  </x:t>
  </x:si>
  <x:si>
    <x:t xml:space="preserve">Date</x:t>
  </x:si>
  <x:si>
    <x:t xml:space="preserve">Payee Name: </x:t>
  </x:si>
  <x:si>
    <x:t xml:space="preserve">NOTE: Please attach the respective receipts and invoices in PDF format.</x:t>
  </x:si>
  <x:si>
    <x:t xml:space="preserve">[42]</x:t>
  </x:si>
  <x:si>
    <x:t xml:space="preserve">Description Of Payment</x:t>
  </x:si>
  <x:si>
    <x:t xml:space="preserve">Receipt (Y/N)</x:t>
  </x:si>
  <x:si>
    <x:t xml:space="preserve">Amount in Local Currency</x:t>
  </x:si>
  <x:si>
    <x:t xml:space="preserve">Amount in USD</x:t>
  </x:si>
  <x:si>
    <x:t xml:space="preserve">TOTAL</x:t>
  </x:si>
  <x:si>
    <x:t xml:space="preserve">Submitted by:</x:t>
  </x:si>
</x:sst>
</file>

<file path=xl/styles.xml><?xml version="1.0" encoding="utf-8"?>
<x:styleSheet xmlns:x="http://schemas.openxmlformats.org/spreadsheetml/2006/main">
  <x:numFmts count="6">
    <x:numFmt numFmtId="44" formatCode="_(&quot;$&quot;* #,##0.00_);_(&quot;$&quot;* \(#,##0.00\);_(&quot;$&quot;* &quot;-&quot;??_);_(@_)"/>
    <x:numFmt numFmtId="164" formatCode="&quot;$&quot;#,##0.00"/>
    <x:numFmt numFmtId="200" formatCode="dd-mmm-yyyy"/>
    <x:numFmt numFmtId="201" formatCode="#,##0.00"/>
    <x:numFmt numFmtId="202" formatCode="#,##0"/>
    <x:numFmt numFmtId="203" formatCode="#,##0.00 &quot;RWF&quot;"/>
  </x:numFmts>
  <x:fonts count="29">
    <x:font>
      <x:sz val="11"/>
      <x:color theme="1"/>
      <x:name val="Aptos Narrow"/>
    </x:font>
    <x:font>
      <x:b/>
      <x:sz val="24"/>
      <x:color rgb="FF002060"/>
      <x:name val="Aptos Display"/>
    </x:font>
    <x:font>
      <x:b/>
      <x:sz val="24"/>
      <x:color theme="4" tint="0.39998"/>
      <x:name val="Aptos Display"/>
    </x:font>
    <x:font>
      <x:b/>
      <x:sz val="20"/>
      <x:color theme="4" tint="0.39998"/>
      <x:name val="Aptos Display"/>
    </x:font>
    <x:font>
      <x:sz val="10"/>
      <x:name val="Aptos Narrow"/>
    </x:font>
    <x:font>
      <x:sz val="10"/>
      <x:color indexed="9"/>
      <x:name val="Aptos Display"/>
    </x:font>
    <x:font>
      <x:b/>
      <x:sz val="11"/>
      <x:name val="Aptos Display"/>
    </x:font>
    <x:font>
      <x:sz val="11"/>
      <x:name val="Aptos Display"/>
    </x:font>
    <x:font>
      <x:b/>
      <x:sz val="10"/>
      <x:color indexed="9"/>
      <x:name val="Aptos Display"/>
    </x:font>
    <x:font>
      <x:b/>
      <x:sz val="10"/>
      <x:name val="Aptos Narrow"/>
    </x:font>
    <x:font>
      <x:b/>
      <x:sz val="10"/>
      <x:name val="Aptos Display"/>
    </x:font>
    <x:font>
      <x:sz val="10"/>
      <x:name val="Aptos Display"/>
    </x:font>
    <x:font>
      <x:i/>
      <x:sz val="10"/>
      <x:name val="Aptos Narrow"/>
    </x:font>
    <x:font>
      <x:b/>
      <x:sz val="28"/>
      <x:color indexed="52"/>
      <x:name val="Aptos Narrow"/>
    </x:font>
    <x:font>
      <x:sz val="10"/>
      <x:color indexed="12"/>
      <x:name val="Arial"/>
    </x:font>
    <x:font>
      <x:sz val="10"/>
      <x:color theme="1" tint="0.49998"/>
      <x:name val="Aptos Narrow"/>
    </x:font>
    <x:font>
      <x:sz val="1"/>
      <x:color indexed="9"/>
      <x:name val="Aptos Narrow"/>
    </x:font>
    <x:font>
      <x:b/>
      <x:sz val="24"/>
      <x:color theme="3" tint="0.24998"/>
      <x:name val="Aptos Display"/>
    </x:font>
    <x:font>
      <x:b/>
      <x:sz val="10"/>
      <x:name val="Arial"/>
    </x:font>
    <x:font>
      <x:sz val="10"/>
      <x:name val="Arial"/>
    </x:font>
    <x:font>
      <x:b/>
      <x:sz val="10"/>
      <x:color indexed="9"/>
      <x:name val="Arial"/>
    </x:font>
    <x:font>
      <x:b/>
      <x:sz val="11"/>
      <x:name val="Arial"/>
    </x:font>
    <x:font>
      <x:sz val="10"/>
      <x:color rgb="FFFF0000"/>
      <x:name val="Arial"/>
    </x:font>
    <x:font>
      <x:sz val="11"/>
      <x:color theme="1"/>
      <x:name val="Aptos Narrow"/>
    </x:font>
    <x:font>
      <x:sz val="11"/>
      <x:name val="Aptos Narrow"/>
    </x:font>
    <x:font>
      <x:b/>
      <x:sz val="16"/>
      <x:color rgb="FFFFFFFF"/>
      <x:name val="Aptos Narrow"/>
    </x:font>
    <x:font>
      <x:b/>
      <x:sz val="11"/>
      <x:color rgb="FF17365D"/>
      <x:name val="Aptos Narrow"/>
    </x:font>
    <x:font>
      <x:b/>
      <x:sz val="11"/>
      <x:color rgb="FFFFFFFF"/>
      <x:name val="Aptos Narrow"/>
    </x:font>
    <x:font>
      <x:b/>
      <x:sz val="11"/>
      <x:color rgb="FF0000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3" tint="0.24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D9D9D9"/>
      </x:patternFill>
    </x:fill>
  </x:fills>
  <x:borders count="26">
    <x:border/>
    <x:border>
      <x:bottom style="medium">
        <x:color theme="1" tint="0.34999"/>
      </x:bottom>
    </x:border>
    <x:border>
      <x:left style="medium">
        <x:color theme="1" tint="0.34999"/>
      </x:left>
      <x:top style="thin">
        <x:color theme="1" tint="0.49998"/>
      </x:top>
      <x:bottom style="medium">
        <x:color theme="1" tint="0.34999"/>
      </x:bottom>
    </x:border>
    <x:border>
      <x:right style="medium">
        <x:color theme="1" tint="0.34999"/>
      </x:right>
      <x:top style="thin">
        <x:color theme="1" tint="0.49998"/>
      </x:top>
      <x:bottom style="medium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thin">
        <x:color theme="1" tint="0.34999"/>
      </x:left>
      <x:right style="thin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thin">
        <x:color theme="1" tint="0.34999"/>
      </x:left>
      <x:right style="thin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top style="medium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right style="medium">
        <x:color theme="1" tint="0.34999"/>
      </x:right>
      <x:top style="medium">
        <x:color theme="1" tint="0.34999"/>
      </x:top>
      <x:bottom style="medium">
        <x:color theme="1" tint="0.34999"/>
      </x:bottom>
    </x:border>
    <x:border>
      <x:right style="medium">
        <x:color theme="1" tint="0.34999"/>
      </x:right>
      <x:top style="medium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top style="medium">
        <x:color theme="1" tint="0.34999"/>
      </x:top>
      <x:bottom style="thin">
        <x:color theme="1" tint="0.49998"/>
      </x:bottom>
    </x:border>
    <x:border>
      <x:right style="medium">
        <x:color theme="1" tint="0.34999"/>
      </x:right>
      <x:top style="medium">
        <x:color theme="1" tint="0.34999"/>
      </x:top>
      <x:bottom style="thin">
        <x:color theme="1" tint="0.4999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1" tint="0.34999"/>
      </x:left>
      <x:right style="thin">
        <x:color theme="1" tint="0.34999"/>
      </x:right>
      <x:top style="medium">
        <x:color theme="1" tint="0.34999"/>
      </x:top>
    </x:border>
    <x:border>
      <x:left style="thin">
        <x:color theme="1" tint="0.34999"/>
      </x:left>
      <x:right style="thin">
        <x:color theme="1" tint="0.34999"/>
      </x:right>
      <x:bottom style="thin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medium">
        <x:color theme="1" tint="0.34999"/>
      </x:top>
    </x:border>
    <x:border>
      <x:left style="thin">
        <x:color theme="1" tint="0.34999"/>
      </x:left>
      <x:right style="medium">
        <x:color theme="1" tint="0.34999"/>
      </x:right>
      <x:top style="medium">
        <x:color theme="1" tint="0.34999"/>
      </x:top>
    </x:border>
    <x:border>
      <x:left style="medium">
        <x:color theme="1" tint="0.34999"/>
      </x:left>
      <x:right style="thin">
        <x:color theme="1" tint="0.34999"/>
      </x:right>
      <x:bottom style="thin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bottom style="thin">
        <x:color theme="1" tint="0.34999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3">
    <x:xf numFmtId="0" fontId="0" fillId="0" borderId="0"/>
    <x:xf numFmtId="0" fontId="14" fillId="0" borderId="0" applyNumberFormat="0" applyFill="0" applyBorder="0" applyAlignment="0" applyProtection="0">
      <x:alignment vertical="top"/>
      <x:protection locked="0"/>
    </x:xf>
    <x:xf numFmtId="44" fontId="23" fillId="0" borderId="0" applyFont="0" applyFill="0" applyBorder="0" applyAlignment="0" applyProtection="0"/>
  </x:cellStyleXfs>
  <x:cellXfs count="129">
    <x:xf numFmtId="0" fontId="0" fillId="0" borderId="0" xfId="0"/>
    <x:xf numFmtId="14" fontId="2" fillId="0" borderId="0" xfId="0" applyNumberFormat="1" applyFont="1" applyAlignment="1">
      <x:alignment horizontal="right"/>
    </x:xf>
    <x:xf numFmtId="0" fontId="0" fillId="0" borderId="0" xfId="0" applyAlignment="1">
      <x:alignment horizontal="right"/>
    </x:xf>
    <x:xf numFmtId="0" fontId="2" fillId="0" borderId="0" xfId="0" applyFont="1" applyAlignment="1">
      <x:alignment horizontal="center"/>
    </x:xf>
    <x:xf numFmtId="4" fontId="2" fillId="0" borderId="0" xfId="0" applyNumberFormat="1" applyFont="1" applyAlignment="1">
      <x:alignment horizontal="right"/>
    </x:xf>
    <x:xf numFmtId="164" fontId="2" fillId="0" borderId="0" xfId="0" applyNumberFormat="1" applyFont="1" applyAlignment="1">
      <x:alignment horizontal="right"/>
    </x:xf>
    <x:xf numFmtId="14" fontId="3" fillId="0" borderId="0" xfId="0" applyNumberFormat="1" applyFont="1"/>
    <x:xf numFmtId="0" fontId="4" fillId="0" borderId="0" xfId="0" applyFont="1"/>
    <x:xf numFmtId="4" fontId="4" fillId="0" borderId="0" xfId="0" applyNumberFormat="1" applyFont="1" applyAlignment="1">
      <x:alignment horizontal="right"/>
    </x:xf>
    <x:xf numFmtId="164" fontId="4" fillId="0" borderId="0" xfId="0" applyNumberFormat="1" applyFont="1" applyAlignment="1">
      <x:alignment horizontal="right"/>
    </x:xf>
    <x:xf numFmtId="14" fontId="4" fillId="0" borderId="0" xfId="0" applyNumberFormat="1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4" fillId="0" borderId="1" xfId="0" applyFont="1" applyBorder="1" applyAlignment="1">
      <x:alignment vertical="center"/>
    </x:xf>
    <x:xf numFmtId="14" fontId="7" fillId="0" borderId="0" xfId="0" applyNumberFormat="1" applyFont="1" applyAlignment="1">
      <x:alignment horizontal="right"/>
    </x:xf>
    <x:xf numFmtId="4" fontId="7" fillId="0" borderId="0" xfId="0" applyNumberFormat="1" applyFont="1" applyAlignment="1">
      <x:alignment horizontal="right" vertical="center"/>
    </x:xf>
    <x:xf numFmtId="164" fontId="7" fillId="0" borderId="0" xfId="0" applyNumberFormat="1" applyFont="1" applyAlignment="1">
      <x:alignment horizontal="right" vertical="center"/>
    </x:xf>
    <x:xf numFmtId="4" fontId="4" fillId="0" borderId="0" xfId="0" applyNumberFormat="1" applyFont="1" applyAlignment="1">
      <x:alignment horizontal="right" vertical="center"/>
    </x:xf>
    <x:xf numFmtId="164" fontId="4" fillId="0" borderId="0" xfId="0" applyNumberFormat="1" applyFont="1" applyAlignment="1">
      <x:alignment horizontal="right" vertical="center"/>
    </x:xf>
    <x:xf numFmtId="14" fontId="4" fillId="0" borderId="0" xfId="0" applyNumberFormat="1" applyFont="1" applyAlignment="1">
      <x:alignment vertical="center"/>
    </x:xf>
    <x:xf numFmtId="14" fontId="4" fillId="0" borderId="4" xfId="0" applyNumberFormat="1" applyFont="1" applyBorder="1" applyAlignment="1">
      <x:alignment horizontal="center" vertical="center"/>
    </x:xf>
    <x:xf numFmtId="0" fontId="4" fillId="0" borderId="5" xfId="0" applyFont="1" applyBorder="1" applyAlignment="1">
      <x:alignment horizontal="left" vertical="center"/>
    </x:xf>
    <x:xf numFmtId="4" fontId="4" fillId="0" borderId="5" xfId="0" applyNumberFormat="1" applyFont="1" applyBorder="1" applyAlignment="1">
      <x:alignment horizontal="right" vertical="center"/>
    </x:xf>
    <x:xf numFmtId="164" fontId="4" fillId="0" borderId="6" xfId="0" applyNumberFormat="1" applyFont="1" applyBorder="1" applyAlignment="1">
      <x:alignment horizontal="right" vertical="center"/>
    </x:xf>
    <x:xf numFmtId="0" fontId="4" fillId="0" borderId="5" xfId="0" applyFont="1" applyBorder="1" applyAlignment="1">
      <x:alignment horizontal="center" vertical="center"/>
    </x:xf>
    <x:xf numFmtId="14" fontId="4" fillId="0" borderId="7" xfId="0" applyNumberFormat="1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4" fontId="4" fillId="0" borderId="8" xfId="0" applyNumberFormat="1" applyFont="1" applyBorder="1" applyAlignment="1">
      <x:alignment horizontal="right" vertical="center"/>
    </x:xf>
    <x:xf numFmtId="164" fontId="4" fillId="0" borderId="9" xfId="0" applyNumberFormat="1" applyFont="1" applyBorder="1" applyAlignment="1">
      <x:alignment horizontal="right" vertical="center"/>
    </x:xf>
    <x:xf numFmtId="14" fontId="8" fillId="0" borderId="0" xfId="0" applyNumberFormat="1" applyFont="1" applyAlignment="1">
      <x:alignment horizontal="right" vertical="center" wrapText="1"/>
    </x:xf>
    <x:xf numFmtId="0" fontId="9" fillId="0" borderId="0" xfId="0" applyFont="1" applyAlignment="1">
      <x:alignment horizontal="right" vertical="center"/>
    </x:xf>
    <x:xf numFmtId="0" fontId="9" fillId="2" borderId="10" xfId="0" applyFont="1" applyFill="1" applyBorder="1" applyAlignment="1">
      <x:alignment horizontal="right" vertical="center"/>
    </x:xf>
    <x:xf numFmtId="4" fontId="6" fillId="2" borderId="11" xfId="0" applyNumberFormat="1" applyFont="1" applyFill="1" applyBorder="1" applyAlignment="1">
      <x:alignment horizontal="right" vertical="center"/>
    </x:xf>
    <x:xf numFmtId="164" fontId="9" fillId="2" borderId="12" xfId="0" applyNumberFormat="1" applyFont="1" applyFill="1" applyBorder="1" applyAlignment="1">
      <x:alignment horizontal="right" vertical="center"/>
    </x:xf>
    <x:xf numFmtId="14" fontId="4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4" fontId="10" fillId="0" borderId="0" xfId="0" applyNumberFormat="1" applyFont="1" applyAlignment="1">
      <x:alignment horizontal="right" vertical="center"/>
    </x:xf>
    <x:xf numFmtId="164" fontId="11" fillId="0" borderId="0" xfId="0" applyNumberFormat="1" applyFont="1" applyAlignment="1">
      <x:alignment horizontal="right" vertical="center"/>
    </x:xf>
    <x:xf numFmtId="0" fontId="4" fillId="0" borderId="0" xfId="0" applyFont="1" applyAlignment="1">
      <x:alignment horizontal="right" vertical="center"/>
    </x:xf>
    <x:xf numFmtId="164" fontId="12" fillId="0" borderId="0" xfId="0" applyNumberFormat="1" applyFont="1" applyAlignment="1">
      <x:alignment horizontal="right" vertical="center"/>
    </x:xf>
    <x:xf numFmtId="0" fontId="13" fillId="0" borderId="0" xfId="0" applyFont="1" applyAlignment="1">
      <x:alignment horizontal="right"/>
    </x:xf>
    <x:xf numFmtId="0" fontId="14" fillId="0" borderId="0" xfId="1" applyAlignment="1">
      <x:alignment vertical="center"/>
    </x:xf>
    <x:xf numFmtId="0" fontId="15" fillId="0" borderId="0" xfId="0" applyFont="1" applyAlignment="1">
      <x:alignment vertical="center"/>
    </x:xf>
    <x:xf numFmtId="0" fontId="16" fillId="0" borderId="0" xfId="0" applyFont="1" applyAlignment="1">
      <x:alignment horizontal="right" vertical="center"/>
    </x:xf>
    <x:xf numFmtId="0" fontId="14" fillId="0" borderId="0" xfId="1" applyAlignment="1">
      <x:alignment wrapText="1"/>
    </x:xf>
    <x:xf numFmtId="0" fontId="9" fillId="0" borderId="0" xfId="0" applyFont="1" applyAlignment="1">
      <x:alignment vertical="center"/>
    </x:xf>
    <x:xf numFmtId="14" fontId="4" fillId="0" borderId="0" xfId="0" applyNumberFormat="1" applyFont="1"/>
    <x:xf numFmtId="14" fontId="18" fillId="0" borderId="0" xfId="0" applyNumberFormat="1" applyFont="1" applyAlignment="1">
      <x:alignment horizontal="center" vertical="center"/>
    </x:xf>
    <x:xf numFmtId="0" fontId="19" fillId="0" borderId="1" xfId="0" applyFont="1" applyBorder="1" applyAlignment="1">
      <x:alignment vertical="center"/>
    </x:xf>
    <x:xf numFmtId="14" fontId="22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center"/>
    </x:xf>
    <x:xf numFmtId="10" fontId="20" fillId="3" borderId="16" xfId="0" applyNumberFormat="1" applyFont="1" applyFill="1" applyBorder="1" applyAlignment="1">
      <x:alignment horizontal="center" vertical="center" wrapText="1"/>
    </x:xf>
    <x:xf numFmtId="0" fontId="4" fillId="0" borderId="17" xfId="0" applyFont="1" applyBorder="1" applyAlignment="1">
      <x:alignment horizontal="left" vertical="center"/>
    </x:xf>
    <x:xf numFmtId="14" fontId="20" fillId="3" borderId="18" xfId="0" applyNumberFormat="1" applyFont="1" applyFill="1" applyBorder="1" applyAlignment="1">
      <x:alignment horizontal="center" vertical="center" wrapText="1"/>
    </x:xf>
    <x:xf numFmtId="4" fontId="20" fillId="3" borderId="16" xfId="0" applyNumberFormat="1" applyFont="1" applyFill="1" applyBorder="1" applyAlignment="1">
      <x:alignment horizontal="center" vertical="center" wrapText="1"/>
    </x:xf>
    <x:xf numFmtId="164" fontId="20" fillId="3" borderId="19" xfId="0" applyNumberFormat="1" applyFont="1" applyFill="1" applyBorder="1" applyAlignment="1">
      <x:alignment horizontal="center" vertical="center" wrapText="1"/>
    </x:xf>
    <x:xf numFmtId="14" fontId="4" fillId="0" borderId="20" xfId="0" applyNumberFormat="1" applyFont="1" applyBorder="1" applyAlignment="1">
      <x:alignment horizontal="center" vertical="center"/>
    </x:xf>
    <x:xf numFmtId="4" fontId="4" fillId="0" borderId="17" xfId="0" applyNumberFormat="1" applyFont="1" applyBorder="1" applyAlignment="1">
      <x:alignment horizontal="right" vertical="center"/>
    </x:xf>
    <x:xf numFmtId="164" fontId="4" fillId="0" borderId="21" xfId="0" applyNumberFormat="1" applyFont="1" applyBorder="1" applyAlignment="1">
      <x:alignment horizontal="right" vertical="center"/>
    </x:xf>
    <x:xf numFmtId="14" fontId="4" fillId="0" borderId="15" xfId="0" applyNumberFormat="1" applyFont="1" applyBorder="1" applyAlignment="1">
      <x:alignment horizontal="center" vertical="center"/>
    </x:xf>
    <x:xf numFmtId="0" fontId="4" fillId="0" borderId="15" xfId="0" applyFont="1" applyBorder="1" applyAlignment="1">
      <x:alignment horizontal="left" vertical="center"/>
    </x:xf>
    <x:xf numFmtId="4" fontId="4" fillId="0" borderId="15" xfId="0" applyNumberFormat="1" applyFont="1" applyBorder="1" applyAlignment="1">
      <x:alignment horizontal="right" vertical="center"/>
    </x:xf>
    <x:xf numFmtId="164" fontId="4" fillId="0" borderId="15" xfId="0" applyNumberFormat="1" applyFont="1" applyBorder="1" applyAlignment="1">
      <x:alignment horizontal="right" vertical="center"/>
    </x:xf>
    <x:xf numFmtId="0" fontId="24" fillId="0" borderId="15" xfId="0" applyFont="1" applyBorder="1" applyAlignment="1">
      <x:alignment horizontal="left" vertical="center"/>
    </x:xf>
    <x:xf numFmtId="44" fontId="24" fillId="0" borderId="15" xfId="2" applyFont="1" applyBorder="1"/>
    <x:xf numFmtId="0" fontId="4" fillId="0" borderId="15" xfId="0" applyFont="1" applyBorder="1" applyAlignment="1">
      <x:alignment horizontal="left" vertical="center" wrapText="1"/>
    </x:xf>
    <x:xf numFmtId="3" fontId="24" fillId="0" borderId="15" xfId="2" applyNumberFormat="1" applyFont="1" applyBorder="1"/>
    <x:xf numFmtId="0" fontId="1" fillId="0" borderId="0" xfId="0" applyFont="1" applyAlignment="1">
      <x:alignment horizontal="center"/>
    </x:xf>
    <x:xf numFmtId="0" fontId="17" fillId="0" borderId="0" xfId="0" applyFont="1" applyAlignment="1">
      <x:alignment horizontal="center"/>
    </x:xf>
    <x:xf numFmtId="0" fontId="5" fillId="3" borderId="13" xfId="0" applyFont="1" applyFill="1" applyBorder="1" applyAlignment="1">
      <x:alignment horizontal="center" vertical="center"/>
    </x:xf>
    <x:xf numFmtId="0" fontId="5" fillId="3" borderId="14" xfId="0" applyFont="1" applyFill="1" applyBorder="1" applyAlignment="1">
      <x:alignment horizontal="center" vertical="center"/>
    </x:xf>
    <x:xf numFmtId="14" fontId="7" fillId="0" borderId="2" xfId="0" applyNumberFormat="1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200" fontId="7" fillId="0" borderId="2" xfId="0" applyNumberFormat="1" applyFont="1" applyFill="1" applyBorder="1" applyAlignment="1">
      <x:alignment horizontal="center" vertical="center"/>
    </x:xf>
    <x:xf numFmtId="200" fontId="4" fillId="0" borderId="15" xfId="0" applyNumberFormat="1" applyFont="1" applyFill="1" applyBorder="1" applyAlignment="1">
      <x:alignment horizontal="center" vertical="center"/>
    </x:xf>
    <x:xf numFmtId="201" fontId="24" fillId="0" borderId="15" xfId="0" applyNumberFormat="1" applyFont="1" applyFill="1" applyBorder="1"/>
    <x:xf numFmtId="164" fontId="24" fillId="0" borderId="15" xfId="0" applyNumberFormat="1" applyFont="1" applyFill="1" applyBorder="1"/>
    <x:xf numFmtId="201" fontId="6" fillId="2" borderId="1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25" fillId="4" borderId="0" xfId="0" applyNumberFormat="1" applyFont="1" applyFill="1" applyBorder="1"/>
    <x:xf numFmtId="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6" fillId="5" borderId="0" xfId="0" applyNumberFormat="1" applyFont="1" applyFill="1" applyBorder="1"/>
    <x:xf numFmtId="202" fontId="26" fillId="5" borderId="0" xfId="0" applyNumberFormat="1" applyFont="1" applyFill="1" applyBorder="1"/>
    <x:xf numFmtId="0" fontId="0" fillId="6" borderId="0" xfId="0" applyNumberFormat="1" applyFont="1" applyFill="1" applyBorder="1"/>
    <x:xf numFmtId="0" fontId="27" fillId="6" borderId="0" xfId="0" applyNumberFormat="1" applyFont="1" applyFill="1" applyBorder="1"/>
    <x:xf numFmtId="0" fontId="27" fillId="6" borderId="0" xfId="0" applyNumberFormat="1" applyFont="1" applyFill="1" applyBorder="1" applyAlignment="1">
      <x:alignment wrapText="1"/>
    </x:xf>
    <x:xf numFmtId="0" fontId="27" fillId="6" borderId="0" xfId="0" applyNumberFormat="1" applyFont="1" applyFill="1" applyBorder="1" applyAlignment="1">
      <x:alignment horizontal="center" wrapText="1"/>
    </x:xf>
    <x:xf numFmtId="0" fontId="27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0" fillId="7" borderId="0" xfId="0" applyNumberFormat="1" applyFont="1" applyFill="1" applyBorder="1"/>
    <x:xf numFmtId="203" fontId="0" fillId="7" borderId="0" xfId="0" applyNumberFormat="1" applyFont="1" applyFill="1" applyBorder="1"/>
    <x:xf numFmtId="164" fontId="0" fillId="7" borderId="0" xfId="0" applyNumberFormat="1" applyFont="1" applyFill="1" applyBorder="1"/>
    <x:xf numFmtId="0" fontId="28" fillId="7" borderId="0" xfId="0" applyNumberFormat="1" applyFont="1" applyFill="1" applyBorder="1"/>
    <x:xf numFmtId="203" fontId="28" fillId="7" borderId="0" xfId="0" applyNumberFormat="1" applyFont="1" applyFill="1" applyBorder="1"/>
    <x:xf numFmtId="164" fontId="28" fillId="7" borderId="0" xfId="0" applyNumberFormat="1" applyFont="1" applyFill="1" applyBorder="1"/>
    <x:xf numFmtId="0" fontId="28" fillId="7" borderId="0" xfId="0" applyNumberFormat="1" applyFont="1" applyFill="1" applyBorder="1" applyAlignment="1">
      <x:alignment vertical="center"/>
    </x:xf>
    <x:xf numFmtId="203" fontId="28" fillId="7" borderId="0" xfId="0" applyNumberFormat="1" applyFont="1" applyFill="1" applyBorder="1" applyAlignment="1">
      <x:alignment vertical="center"/>
    </x:xf>
    <x:xf numFmtId="164" fontId="28" fillId="7" borderId="0" xfId="0" applyNumberFormat="1" applyFont="1" applyFill="1" applyBorder="1" applyAlignment="1">
      <x:alignment vertical="center"/>
    </x:xf>
    <x:xf numFmtId="0" fontId="27" fillId="6" borderId="22" xfId="0" applyNumberFormat="1" applyFont="1" applyFill="1" applyBorder="1" applyAlignment="1">
      <x:alignment horizontal="center" vertical="center" wrapText="1"/>
    </x:xf>
    <x:xf numFmtId="200" fontId="0" fillId="0" borderId="22" xfId="0" applyNumberFormat="1" applyFont="1" applyFill="1" applyBorder="1"/>
    <x:xf numFmtId="0" fontId="0" fillId="0" borderId="22" xfId="0" applyNumberFormat="1" applyFont="1" applyFill="1" applyBorder="1"/>
    <x:xf numFmtId="203" fontId="0" fillId="0" borderId="22" xfId="0" applyNumberFormat="1" applyFont="1" applyFill="1" applyBorder="1"/>
    <x:xf numFmtId="164" fontId="0" fillId="0" borderId="22" xfId="0" applyNumberFormat="1" applyFont="1" applyFill="1" applyBorder="1"/>
    <x:xf numFmtId="0" fontId="28" fillId="7" borderId="22" xfId="0" applyNumberFormat="1" applyFont="1" applyFill="1" applyBorder="1" applyAlignment="1">
      <x:alignment vertical="center"/>
    </x:xf>
    <x:xf numFmtId="203" fontId="28" fillId="7" borderId="22" xfId="0" applyNumberFormat="1" applyFont="1" applyFill="1" applyBorder="1" applyAlignment="1">
      <x:alignment vertical="center"/>
    </x:xf>
    <x:xf numFmtId="164" fontId="28" fillId="7" borderId="22" xfId="0" applyNumberFormat="1" applyFont="1" applyFill="1" applyBorder="1" applyAlignment="1">
      <x:alignment vertical="center"/>
    </x:xf>
    <x:xf numFmtId="0" fontId="26" fillId="5" borderId="23" xfId="0" applyNumberFormat="1" applyFont="1" applyFill="1" applyBorder="1"/>
    <x:xf numFmtId="202" fontId="26" fillId="5" borderId="24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25" fillId="4" borderId="0" xfId="0" applyNumberFormat="1" applyFont="1" applyFill="1" applyBorder="1" applyAlignment="1">
      <x:alignment horizontal="center" vertical="center" wrapText="1"/>
    </x:xf>
    <x:xf numFmtId="0" fontId="26" fillId="5" borderId="23" xfId="0" applyNumberFormat="1" applyFont="1" applyFill="1" applyBorder="1" applyAlignment="1">
      <x:alignment wrapText="1"/>
    </x:xf>
    <x:xf numFmtId="202" fontId="26" fillId="5" borderId="24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203" fontId="0" fillId="0" borderId="22" xfId="0" applyNumberFormat="1" applyFont="1" applyFill="1" applyBorder="1" applyAlignment="1">
      <x:alignment wrapText="1"/>
    </x:xf>
    <x:xf numFmtId="164" fontId="0" fillId="0" borderId="22" xfId="0" applyNumberFormat="1" applyFont="1" applyFill="1" applyBorder="1" applyAlignment="1">
      <x:alignment wrapText="1"/>
    </x:xf>
    <x:xf numFmtId="0" fontId="28" fillId="7" borderId="22" xfId="0" applyNumberFormat="1" applyFont="1" applyFill="1" applyBorder="1" applyAlignment="1">
      <x:alignment vertical="center" wrapText="1"/>
    </x:xf>
    <x:xf numFmtId="203" fontId="28" fillId="7" borderId="22" xfId="0" applyNumberFormat="1" applyFont="1" applyFill="1" applyBorder="1" applyAlignment="1">
      <x:alignment vertical="center" wrapText="1"/>
    </x:xf>
    <x:xf numFmtId="164" fontId="28" fillId="7" borderId="22" xfId="0" applyNumberFormat="1" applyFont="1" applyFill="1" applyBorder="1" applyAlignment="1">
      <x:alignment vertical="center" wrapText="1"/>
    </x:xf>
  </x:cellXfs>
  <x:cellStyles count="3">
    <x:cellStyle name="Currency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4956023304bc1" /><Relationship Type="http://schemas.openxmlformats.org/officeDocument/2006/relationships/theme" Target="/xl/theme/theme1.xml" Id="R5f23dd5662844f4e" /><Relationship Type="http://schemas.openxmlformats.org/officeDocument/2006/relationships/sharedStrings" Target="/xl/sharedStrings.xml" Id="Rada16b7634b4419e" /><Relationship Type="http://schemas.openxmlformats.org/officeDocument/2006/relationships/worksheet" Target="/xl/worksheets/sheet1.xml" Id="Rd3f57424761d454b" /><Relationship Type="http://schemas.openxmlformats.org/officeDocument/2006/relationships/worksheet" Target="/xl/worksheets/sheet2.xml" Id="Re6199c65474943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28515625" defaultRowHeight="13.5"/>
  <x:cols>
    <x:col min="1" max="1" width="15.5703125" style="46" customWidth="1"/>
    <x:col min="2" max="2" width="60.42578125" style="7" customWidth="1"/>
    <x:col min="3" max="3" width="13.85546875" style="7" customWidth="1"/>
    <x:col min="4" max="4" width="15.140625" style="8" customWidth="1"/>
    <x:col min="5" max="5" width="15.140625" style="9" customWidth="1"/>
    <x:col min="6" max="7" width="10.28515625" style="7" customWidth="0"/>
    <x:col min="8" max="8" width="14.5703125" style="7" customWidth="1"/>
    <x:col min="9" max="9" width="10.28515625" style="7" customWidth="0"/>
    <x:col min="10" max="10" width="32.140625" style="7" customWidth="1"/>
    <x:col min="11" max="16384" width="10.28515625" style="7" customWidth="0"/>
  </x:cols>
  <x:sheetData>
    <x:row r="1" ht="35.25" customHeight="1">
      <x:c r="A1" s="67" t="str">
        <x:v>IEEE IES Rwanda</x:v>
      </x:c>
      <x:c r="B1" s="67"/>
      <x:c r="C1" s="67"/>
      <x:c r="D1" s="67"/>
      <x:c r="E1" s="67"/>
      <x:c r="F1" s="40"/>
      <x:c r="G1" s="40"/>
    </x:row>
    <x:row r="2" ht="10.5" customHeight="1">
      <x:c r="A2" s="1"/>
      <x:c r="B2" s="2"/>
      <x:c r="C2" s="3"/>
      <x:c r="D2" s="4"/>
      <x:c r="E2" s="5"/>
      <x:c r="F2" s="40"/>
      <x:c r="G2" s="40"/>
    </x:row>
    <x:row r="3" ht="35.25" customHeight="1">
      <x:c r="A3" s="68" t="s">
        <x:v>0</x:v>
      </x:c>
      <x:c r="B3" s="68"/>
      <x:c r="C3" s="68"/>
      <x:c r="D3" s="68"/>
      <x:c r="E3" s="68"/>
      <x:c r="F3" s="40"/>
      <x:c r="G3" s="40"/>
      <x:c r="J3" s="12"/>
    </x:row>
    <x:row r="4" ht="36" customHeight="1">
      <x:c r="A4" s="6"/>
      <x:c r="F4" s="40"/>
      <x:c r="G4" s="40"/>
      <x:c r="J4" s="12"/>
    </x:row>
    <x:row r="5" s="12" customFormat="1" ht="18" customHeight="1">
      <x:c r="A5" s="10"/>
      <x:c r="B5" s="11"/>
      <x:c r="D5" s="69" t="s">
        <x:v>1</x:v>
      </x:c>
      <x:c r="E5" s="70"/>
      <x:c r="J5" s="41"/>
    </x:row>
    <x:row r="6" s="12" customFormat="1" ht="25.5" customHeight="1">
      <x:c r="A6" s="50" t="s">
        <x:v>2</x:v>
      </x:c>
      <x:c r="B6" s="13" t="str">
        <x:v>KOECH BRIAN</x:v>
      </x:c>
      <x:c r="D6" s="73" t="n">
        <x:v>46231</x:v>
      </x:c>
      <x:c r="E6" s="72"/>
      <x:c r="J6" s="42"/>
    </x:row>
    <x:row r="7" s="12" customFormat="1" ht="15">
      <x:c r="A7" s="14"/>
      <x:c r="D7" s="15"/>
      <x:c r="E7" s="16"/>
      <x:c r="J7" s="42"/>
    </x:row>
    <x:row r="8" s="12" customFormat="1">
      <x:c r="A8" s="49" t="s">
        <x:v>3</x:v>
      </x:c>
      <x:c r="D8" s="17"/>
      <x:c r="E8" s="18"/>
    </x:row>
    <x:row r="9" s="12" customFormat="1" ht="14.25">
      <x:c r="A9" s="19"/>
      <x:c r="D9" s="17"/>
      <x:c r="E9" s="18"/>
      <x:c r="H9" s="43" t="s">
        <x:v>4</x:v>
      </x:c>
      <x:c r="J9" s="44"/>
    </x:row>
    <x:row r="10" s="45" customFormat="1" ht="25.5">
      <x:c r="A10" s="53" t="s">
        <x:v>1</x:v>
      </x:c>
      <x:c r="B10" s="51" t="s">
        <x:v>5</x:v>
      </x:c>
      <x:c r="C10" s="51" t="s">
        <x:v>6</x:v>
      </x:c>
      <x:c r="D10" s="54" t="s">
        <x:v>7</x:v>
      </x:c>
      <x:c r="E10" s="55" t="s">
        <x:v>8</x:v>
      </x:c>
    </x:row>
    <x:row r="11" s="12" customFormat="1" ht="33.75" customHeight="1">
      <x:c r="A11" s="74" t="n">
        <x:v>46223</x:v>
      </x:c>
      <x:c r="B11" s="65" t="str">
        <x:v>Food and refreshments - Mozy Pizza</x:v>
      </x:c>
      <x:c r="C11" s="63" t="str">
        <x:v>Y</x:v>
      </x:c>
      <x:c r="D11" s="75" t="n">
        <x:v>227500</x:v>
      </x:c>
      <x:c r="E11" s="76" t="n">
        <x:f>ROUND(D11/'Source Notes'!$B$2,2)</x:f>
        <x:v>154.24</x:v>
      </x:c>
    </x:row>
    <x:row r="12" s="12" customFormat="1" ht="19.5" customHeight="1">
      <x:c r="A12" s="74" t="n">
        <x:v>46223</x:v>
      </x:c>
      <x:c r="B12" s="60" t="str">
        <x:v>T-shirts, IES pull-up banner and flyers - Mg Modern Design</x:v>
      </x:c>
      <x:c r="C12" s="63" t="str">
        <x:v>Y</x:v>
      </x:c>
      <x:c r="D12" s="75" t="n">
        <x:v>1490000</x:v>
      </x:c>
      <x:c r="E12" s="76" t="n">
        <x:f>ROUND(D12/'Source Notes'!$B$2,2)</x:f>
        <x:v>1010.17</x:v>
      </x:c>
    </x:row>
    <x:row r="13" s="12" customFormat="1" ht="19.5" customHeight="1">
      <x:c r="A13" s="74" t="n">
        <x:v>46227</x:v>
      </x:c>
      <x:c r="B13" s="60" t="str">
        <x:v>Transport services - Hakuzimana Ignace (Receipt No. 255)</x:v>
      </x:c>
      <x:c r="C13" s="63" t="str">
        <x:v>Y</x:v>
      </x:c>
      <x:c r="D13" s="75" t="n">
        <x:v>260000</x:v>
      </x:c>
      <x:c r="E13" s="76" t="n">
        <x:f>ROUND(D13/'Source Notes'!$B$2,2)</x:f>
        <x:v>176.27</x:v>
      </x:c>
    </x:row>
    <x:row r="14" s="12" customFormat="1" ht="19.5" customHeight="1">
      <x:c r="A14" s="74" t="n">
        <x:v>46230</x:v>
      </x:c>
      <x:c r="B14" s="60" t="str">
        <x:v>Multimedia services - David Shema (Receipt No. 5)</x:v>
      </x:c>
      <x:c r="C14" s="63" t="str">
        <x:v>Y</x:v>
      </x:c>
      <x:c r="D14" s="75" t="n">
        <x:v>531000</x:v>
      </x:c>
      <x:c r="E14" s="76" t="n">
        <x:f>ROUND(D14/'Source Notes'!$B$2,2)</x:f>
        <x:v>360</x:v>
      </x:c>
    </x:row>
    <x:row r="15" s="12" customFormat="1" ht="19.5" customHeight="1">
      <x:c r="A15" s="59"/>
      <x:c r="B15" s="60"/>
      <x:c r="C15" s="60"/>
      <x:c r="D15" s="61"/>
      <x:c r="E15" s="61"/>
    </x:row>
    <x:row r="16" s="12" customFormat="1" ht="19.5" customHeight="1">
      <x:c r="A16" s="59"/>
      <x:c r="B16" s="60"/>
      <x:c r="C16" s="60"/>
      <x:c r="D16" s="61"/>
      <x:c r="E16" s="61"/>
    </x:row>
    <x:row r="17" s="12" customFormat="1" ht="19.5" customHeight="1">
      <x:c r="A17" s="59"/>
      <x:c r="B17" s="60"/>
      <x:c r="C17" s="60"/>
      <x:c r="D17" s="61"/>
      <x:c r="E17" s="61"/>
    </x:row>
    <x:row r="18" s="12" customFormat="1" ht="19.5" customHeight="1">
      <x:c r="A18" s="59"/>
      <x:c r="B18" s="60"/>
      <x:c r="C18" s="60"/>
      <x:c r="D18" s="61"/>
      <x:c r="E18" s="61"/>
    </x:row>
    <x:row r="19" s="12" customFormat="1" ht="19.5" customHeight="1">
      <x:c r="A19" s="59"/>
      <x:c r="B19" s="60"/>
      <x:c r="C19" s="60"/>
      <x:c r="D19" s="61"/>
      <x:c r="E19" s="61"/>
    </x:row>
    <x:row r="20" s="12" customFormat="1" ht="19.5" customHeight="1">
      <x:c r="A20" s="59"/>
      <x:c r="B20" s="60"/>
      <x:c r="C20" s="60"/>
      <x:c r="D20" s="61"/>
      <x:c r="E20" s="62"/>
    </x:row>
    <x:row r="21" s="12" customFormat="1" ht="19.5" customHeight="1">
      <x:c r="A21" s="56"/>
      <x:c r="B21" s="52"/>
      <x:c r="C21" s="52"/>
      <x:c r="D21" s="57"/>
      <x:c r="E21" s="58"/>
    </x:row>
    <x:row r="22" s="12" customFormat="1" ht="19.5" customHeight="1">
      <x:c r="A22" s="20"/>
      <x:c r="B22" s="21"/>
      <x:c r="C22" s="21"/>
      <x:c r="D22" s="22"/>
      <x:c r="E22" s="23"/>
    </x:row>
    <x:row r="23" s="12" customFormat="1" ht="19.5" customHeight="1">
      <x:c r="A23" s="20"/>
      <x:c r="B23" s="21"/>
      <x:c r="C23" s="21"/>
      <x:c r="D23" s="22"/>
      <x:c r="E23" s="23"/>
    </x:row>
    <x:row r="24" s="12" customFormat="1" ht="19.5" customHeight="1">
      <x:c r="A24" s="20"/>
      <x:c r="B24" s="21"/>
      <x:c r="C24" s="21"/>
      <x:c r="D24" s="22"/>
      <x:c r="E24" s="23"/>
    </x:row>
    <x:row r="25" s="12" customFormat="1" ht="19.5" customHeight="1">
      <x:c r="A25" s="20"/>
      <x:c r="B25" s="21"/>
      <x:c r="C25" s="21"/>
      <x:c r="D25" s="22"/>
      <x:c r="E25" s="23"/>
    </x:row>
    <x:row r="26" s="12" customFormat="1" ht="19.5" customHeight="1">
      <x:c r="A26" s="20"/>
      <x:c r="B26" s="21"/>
      <x:c r="C26" s="21"/>
      <x:c r="D26" s="22"/>
      <x:c r="E26" s="23"/>
    </x:row>
    <x:row r="27" s="12" customFormat="1" ht="19.5" customHeight="1">
      <x:c r="A27" s="20"/>
      <x:c r="B27" s="24"/>
      <x:c r="C27" s="21"/>
      <x:c r="D27" s="22"/>
      <x:c r="E27" s="23"/>
    </x:row>
    <x:row r="28" s="12" customFormat="1" ht="19.5" customHeight="1">
      <x:c r="A28" s="25"/>
      <x:c r="B28" s="26"/>
      <x:c r="C28" s="26"/>
      <x:c r="D28" s="27"/>
      <x:c r="E28" s="28"/>
    </x:row>
    <x:row r="29" s="30" customFormat="1" ht="27.600000381469727" customHeight="1">
      <x:c r="A29" s="29"/>
      <x:c r="C29" s="31" t="s">
        <x:v>9</x:v>
      </x:c>
      <x:c r="D29" s="77" t="n">
        <x:f>SUM(D11:D28)</x:f>
        <x:v>2508500</x:v>
      </x:c>
      <x:c r="E29" s="33" t="n">
        <x:f>SUM(E11:E28)</x:f>
        <x:v>1700.6799999999998</x:v>
      </x:c>
    </x:row>
    <x:row r="30" s="12" customFormat="1">
      <x:c r="A30" s="34"/>
      <x:c r="D30" s="17"/>
      <x:c r="E30" s="18"/>
    </x:row>
    <x:row r="31" s="12" customFormat="1">
      <x:c r="A31" s="34"/>
      <x:c r="C31" s="35"/>
      <x:c r="D31" s="36"/>
      <x:c r="E31" s="37"/>
    </x:row>
    <x:row r="32" s="12" customFormat="1" ht="14.25">
      <x:c r="A32" s="47" t="s">
        <x:v>10</x:v>
      </x:c>
      <x:c r="B32" s="48" t="str">
        <x:v>Kipngeno Koech</x:v>
      </x:c>
      <x:c r="C32" s="38"/>
      <x:c r="D32" s="17"/>
      <x:c r="E32" s="18"/>
    </x:row>
    <x:row r="33" s="12" customFormat="1">
      <x:c r="A33" s="34"/>
      <x:c r="D33" s="17"/>
      <x:c r="E33" s="39"/>
    </x:row>
  </x:sheetData>
  <x:mergeCells>
    <x:mergeCell ref="A1:E1"/>
    <x:mergeCell ref="A3:E3"/>
    <x:mergeCell ref="D5:E5"/>
    <x:mergeCell ref="D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38" hidden="0" customWidth="1"/>
    <x:col min="4" max="4" width="16" hidden="0" customWidth="1"/>
    <x:col min="5" max="5" width="16" hidden="0" customWidth="1"/>
    <x:col min="6" max="6" width="68" hidden="0" customWidth="1"/>
  </x:cols>
  <x:sheetData>
    <x:row r="1" ht="30" customHeight="1">
      <x:c r="A1" s="116" t="str">
        <x:v>Expense Report Sources and Conversion</x:v>
      </x:c>
      <x:c r="B1" s="116"/>
      <x:c r="C1" s="116"/>
      <x:c r="D1" s="116"/>
      <x:c r="E1" s="116"/>
      <x:c r="F1" s="116"/>
    </x:row>
    <x:row r="2">
      <x:c r="A2" s="117" t="str">
        <x:v>RWF per USD</x:v>
      </x:c>
      <x:c r="B2" s="118" t="n">
        <x:v>1475</x:v>
      </x:c>
      <x:c r="C2" s="119" t="str">
        <x:v>Derived from the confirmed RWF 531,000 = USD 360 multimedia payment.</x:v>
      </x:c>
      <x:c r="D2" s="119"/>
      <x:c r="E2" s="119"/>
      <x:c r="F2" s="120"/>
    </x:row>
    <x:row r="3">
      <x:c r="A3" s="121"/>
      <x:c r="B3" s="121"/>
      <x:c r="C3" s="121"/>
      <x:c r="D3" s="121"/>
      <x:c r="E3" s="121"/>
      <x:c r="F3" s="121"/>
    </x:row>
    <x:row r="4" ht="15" hidden="0" customHeight="1">
      <x:c r="A4" s="104" t="str">
        <x:v>Date</x:v>
      </x:c>
      <x:c r="B4" s="104" t="str">
        <x:v>Expense</x:v>
      </x:c>
      <x:c r="C4" s="104" t="str">
        <x:v>Source file</x:v>
      </x:c>
      <x:c r="D4" s="104" t="str">
        <x:v>RWF</x:v>
      </x:c>
      <x:c r="E4" s="104" t="str">
        <x:v>USD</x:v>
      </x:c>
      <x:c r="F4" s="104" t="str">
        <x:v>Source / note</x:v>
      </x:c>
    </x:row>
    <x:row r="5" ht="26.399999618530273" hidden="0" customHeight="1">
      <x:c r="A5" s="122" t="n">
        <x:v>46223</x:v>
      </x:c>
      <x:c r="B5" s="123" t="str">
        <x:v>Food and refreshments - Mozy Pizza</x:v>
      </x:c>
      <x:c r="C5" s="123" t="str">
        <x:v>food.pdf</x:v>
      </x:c>
      <x:c r="D5" s="124" t="n">
        <x:v>227500</x:v>
      </x:c>
      <x:c r="E5" s="125" t="n">
        <x:f>ROUND(D5/$B$2,2)</x:f>
        <x:v>154.24</x:v>
      </x:c>
      <x:c r="F5" s="123" t="str">
        <x:v>https://drive.google.com/file/d/1TDoUp5BYN2Abq1qdiN3c-WOGipuqKVbV/view - Date partly obscured; 20-Jul-2026 used from the visible stamp/event documents.</x:v>
      </x:c>
    </x:row>
    <x:row r="6" ht="15" hidden="0" customHeight="1">
      <x:c r="A6" s="122" t="n">
        <x:v>46223</x:v>
      </x:c>
      <x:c r="B6" s="123" t="str">
        <x:v>T-shirts, pull-up banner and flyers</x:v>
      </x:c>
      <x:c r="C6" s="123" t="str">
        <x:v>IEEE IES Rwanda Receipt .pdf</x:v>
      </x:c>
      <x:c r="D6" s="124" t="n">
        <x:v>1490000</x:v>
      </x:c>
      <x:c r="E6" s="125" t="n">
        <x:f>ROUND(D6/$B$2,2)</x:f>
        <x:v>1010.17</x:v>
      </x:c>
      <x:c r="F6" s="123" t="str">
        <x:v>https://drive.google.com/file/d/1XLNz8imBuirhJYq3oDJh2cdk7ivOgn05/view</x:v>
      </x:c>
    </x:row>
    <x:row r="7" ht="15" hidden="0" customHeight="1">
      <x:c r="A7" s="122" t="n">
        <x:v>46227</x:v>
      </x:c>
      <x:c r="B7" s="123" t="str">
        <x:v>Transport services - Hakuzimana Ignace</x:v>
      </x:c>
      <x:c r="C7" s="123" t="str">
        <x:v>transport</x:v>
      </x:c>
      <x:c r="D7" s="124" t="n">
        <x:v>260000</x:v>
      </x:c>
      <x:c r="E7" s="125" t="n">
        <x:f>ROUND(D7/$B$2,2)</x:f>
        <x:v>176.27</x:v>
      </x:c>
      <x:c r="F7" s="123" t="str">
        <x:v>https://drive.google.com/file/d/1oc2jllB67gSUuR-j50C17MSatAzfJgo3/view</x:v>
      </x:c>
    </x:row>
    <x:row r="8" ht="15" hidden="0" customHeight="1">
      <x:c r="A8" s="122" t="n">
        <x:v>46230</x:v>
      </x:c>
      <x:c r="B8" s="123" t="str">
        <x:v>Multimedia services - David Shema</x:v>
      </x:c>
      <x:c r="C8" s="123" t="str">
        <x:v>MULTIMEDIA SERVICES RECEIPT.pdf</x:v>
      </x:c>
      <x:c r="D8" s="124" t="n">
        <x:v>531000</x:v>
      </x:c>
      <x:c r="E8" s="125" t="n">
        <x:f>ROUND(D8/$B$2,2)</x:f>
        <x:v>360</x:v>
      </x:c>
      <x:c r="F8" s="123" t="str">
        <x:v>https://drive.google.com/file/d/1XGD6KB0n74amW29x-z0SCtZ_5BkEwhH1/view</x:v>
      </x:c>
    </x:row>
    <x:row r="9" ht="26.399999618530273" hidden="0" customHeight="1">
      <x:c r="A9" s="126" t="str">
        <x:v>TOTAL</x:v>
      </x:c>
      <x:c r="B9" s="126"/>
      <x:c r="C9" s="126"/>
      <x:c r="D9" s="127" t="n">
        <x:f>SUM(D5:D8)</x:f>
        <x:v>2508500</x:v>
      </x:c>
      <x:c r="E9" s="128" t="n">
        <x:f>SUM(E5:E8)</x:f>
        <x:v>1700.6799999999998</x:v>
      </x:c>
      <x:c r="F9" s="126" t="str">
        <x:v>The .numbers file in the folder was treated as an existing report, not a supporting expense.</x:v>
      </x:c>
    </x:row>
  </x:sheetData>
  <x:mergeCells>
    <x:mergeCell ref="A1:F1"/>
    <x:mergeCell ref="C2:F2"/>
    <x:mergeCell ref="A9:C9"/>
  </x:mergeCells>
  <x:pageMargins left="0.7" right="0.7" top="0.75" bottom="0.75" header="0.3" footer="0.3"/>
</x:worksheet>
</file>